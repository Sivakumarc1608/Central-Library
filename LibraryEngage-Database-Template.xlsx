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structions" sheetId="1" state="visible" r:id="rId3"/>
    <sheet name="Participation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<sst xmlns="http://schemas.openxmlformats.org/spreadsheetml/2006/main" count="73" uniqueCount="72">
  <si>
    <t xml:space="preserve">Library Engage — Participation Database Template</t>
  </si>
  <si>
    <t xml:space="preserve">This workbook is the LAYOUT for the shared database behind the Library Engage website.</t>
  </si>
  <si>
    <t xml:space="preserve">The website does not write to an .xlsx file directly — it writes to a Google Sheet.</t>
  </si>
  <si>
    <t xml:space="preserve">Use this file to see the exact column layout, then import it into Google Sheets (steps below).</t>
  </si>
  <si>
    <t xml:space="preserve">What is on each tab</t>
  </si>
  <si>
    <t xml:space="preserve">• Participation — one row per game attempt. This is the ONLY tab the website writes to.</t>
  </si>
  <si>
    <t xml:space="preserve">   Columns A–C and N are filled in automatically by the website; do not type into them.</t>
  </si>
  <si>
    <t xml:space="preserve">   One example row is included in row 2, in grey — delete it before going live.</t>
  </si>
  <si>
    <t xml:space="preserve">• Dashboard — live totals computed from the Participation tab with formulas (no typing needed).</t>
  </si>
  <si>
    <t xml:space="preserve">How to connect this to your website (do this once)</t>
  </si>
  <si>
    <t xml:space="preserve">1. Open https://sheets.google.com and create a BLANK spreadsheet (keep it private).</t>
  </si>
  <si>
    <t xml:space="preserve">2. File &gt; Import &gt; Upload &gt; choose this file (LibraryEngage-Database-Template.xlsx).</t>
  </si>
  <si>
    <t xml:space="preserve">   Import location: choose "Insert new sheet(s)" so both tabs come in.</t>
  </si>
  <si>
    <t xml:space="preserve">3. Delete Google Sheets' default "Sheet1" tab, keeping Participation and Dashboard.</t>
  </si>
  <si>
    <t xml:space="preserve">4. Delete the grey example row (row 2) on the Participation tab.</t>
  </si>
  <si>
    <t xml:space="preserve">5. In the Sheet, open Extensions &gt; Apps Script and paste the code from</t>
  </si>
  <si>
    <t xml:space="preserve">   SETUP-GOOGLE-SHEET.gs (provided with the website files). Save.</t>
  </si>
  <si>
    <t xml:space="preserve">6. Project Settings (gear icon) &gt; Script properties &gt; Add property:</t>
  </si>
  <si>
    <t xml:space="preserve">   Property = ADMIN_KEY   Value = a strong password you choose.</t>
  </si>
  <si>
    <t xml:space="preserve">7. Deploy &gt; New deployment &gt; type "Web app" &gt; Execute as: Me &gt; Who has access: Anyone &gt; Deploy.</t>
  </si>
  <si>
    <t xml:space="preserve">   Authorise when Google asks, then copy the Web app URL (it ends with /exec).</t>
  </si>
  <si>
    <t xml:space="preserve">8. Open index.html in a text editor, find  sheetEndpoint: ''  near the top of the</t>
  </si>
  <si>
    <t xml:space="preserve">   &lt;script&gt; section, and paste the URL between the quotes. Save the file.</t>
  </si>
  <si>
    <t xml:space="preserve">9. Upload the updated index.html to GitHub (see the GitHub steps document/README).</t>
  </si>
  <si>
    <t xml:space="preserve">From then on, every attempt from every visitor is written as a new row on the</t>
  </si>
  <si>
    <t xml:space="preserve">Participation tab automatically, and the Dashboard tab updates itself.</t>
  </si>
  <si>
    <t xml:space="preserve">Notes</t>
  </si>
  <si>
    <t xml:space="preserve">• Column A (Received At) is the server's clock — use it as the reliable timestamp.</t>
  </si>
  <si>
    <t xml:space="preserve">• Roll numbers are only ever written here and shown to the Admin login on the site —</t>
  </si>
  <si>
    <t xml:space="preserve">   the public leaderboard never receives them.</t>
  </si>
  <si>
    <t xml:space="preserve">• You can open, filter and export this Sheet at any time (File &gt; Download) — it is your</t>
  </si>
  <si>
    <t xml:space="preserve">   original copy, independent of what the Admin panel on the website shows.</t>
  </si>
  <si>
    <t xml:space="preserve">Received At</t>
  </si>
  <si>
    <t xml:space="preserve">Attempt Time</t>
  </si>
  <si>
    <t xml:space="preserve">Attempt ID</t>
  </si>
  <si>
    <t xml:space="preserve">Name</t>
  </si>
  <si>
    <t xml:space="preserve">Roll Number</t>
  </si>
  <si>
    <t xml:space="preserve">Department</t>
  </si>
  <si>
    <t xml:space="preserve">Category</t>
  </si>
  <si>
    <t xml:space="preserve">Game ID</t>
  </si>
  <si>
    <t xml:space="preserve">Game</t>
  </si>
  <si>
    <t xml:space="preserve">Score</t>
  </si>
  <si>
    <t xml:space="preserve">Total Questions</t>
  </si>
  <si>
    <t xml:space="preserve">Percentage</t>
  </si>
  <si>
    <t xml:space="preserve">Seconds</t>
  </si>
  <si>
    <t xml:space="preserve">Certificate ID</t>
  </si>
  <si>
    <t xml:space="preserve">2026-09-24T10:15:32.000Z</t>
  </si>
  <si>
    <t xml:space="preserve">2026-09-24T10:14:58.000Z</t>
  </si>
  <si>
    <t xml:space="preserve">106124087|treasure-hunt|2026-09-24T10:14:58.000Z</t>
  </si>
  <si>
    <t xml:space="preserve">Priya Lakshmi Ramanathan</t>
  </si>
  <si>
    <t xml:space="preserve">106124087</t>
  </si>
  <si>
    <t xml:space="preserve">Computer Science and Engineering</t>
  </si>
  <si>
    <t xml:space="preserve">student</t>
  </si>
  <si>
    <t xml:space="preserve">treasure-hunt</t>
  </si>
  <si>
    <t xml:space="preserve">Library Treasure Hunt</t>
  </si>
  <si>
    <t xml:space="preserve">NITT-CL-LIBENG-2026-000123</t>
  </si>
  <si>
    <t xml:space="preserve">&lt;- example row, delete before going live</t>
  </si>
  <si>
    <t xml:space="preserve">Library Engage — Live Dashboard</t>
  </si>
  <si>
    <t xml:space="preserve">Total attempts recorded</t>
  </si>
  <si>
    <t xml:space="preserve">Unique participants (roll numbers)</t>
  </si>
  <si>
    <t xml:space="preserve">Certificates issued</t>
  </si>
  <si>
    <t xml:space="preserve">Highest score (%)</t>
  </si>
  <si>
    <t xml:space="preserve">Average score (%)</t>
  </si>
  <si>
    <t xml:space="preserve">Attempts by challenge</t>
  </si>
  <si>
    <t xml:space="preserve">Library Quiz Challenge</t>
  </si>
  <si>
    <t xml:space="preserve">Book Detective</t>
  </si>
  <si>
    <t xml:space="preserve">Word Quest</t>
  </si>
  <si>
    <t xml:space="preserve">Research Resource Challenge</t>
  </si>
  <si>
    <t xml:space="preserve">Match the Pairs</t>
  </si>
  <si>
    <t xml:space="preserve">Note: this tab only updates from data typed or imported into Participation directly.</t>
  </si>
  <si>
    <t xml:space="preserve">Once connected to the website via Apps Script, the Sheet fills in Participation automatically</t>
  </si>
  <si>
    <t xml:space="preserve">and these totals update on their own — no formula edits needed.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</si>
</sst>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\%"/>
    <numFmt numFmtId="166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7A0F14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1B2A5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7A6C6C"/>
      <name val="Arial"/>
      <family val="0"/>
      <charset val="1"/>
    </font>
    <font>
      <i val="true"/>
      <sz val="9"/>
      <color rgb="FFB3121B"/>
      <name val="Arial"/>
      <family val="0"/>
      <charset val="1"/>
    </font>
    <font>
      <b val="true"/>
      <sz val="16"/>
      <color rgb="FF7A0F14"/>
      <name val="Arial"/>
      <family val="0"/>
      <charset val="1"/>
    </font>
    <font>
      <b val="true"/>
      <sz val="11"/>
      <color rgb="FF333333"/>
      <name val="Arial"/>
      <family val="0"/>
      <charset val="1"/>
    </font>
    <font>
      <b val="true"/>
      <sz val="20"/>
      <color rgb="FF1B2A5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A6C6C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2A5A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A0F14"/>
      <rgbColor rgb="FF008000"/>
      <rgbColor rgb="FF000080"/>
      <rgbColor rgb="FF808000"/>
      <rgbColor rgb="FF800080"/>
      <rgbColor rgb="FF008080"/>
      <rgbColor rgb="FFC0C0C0"/>
      <rgbColor rgb="FF7A6C6C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2A5A"/>
      <rgbColor rgb="FF339966"/>
      <rgbColor rgb="FF003300"/>
      <rgbColor rgb="FF333300"/>
      <rgbColor rgb="FFB3121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3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 t="s">
        <v>20</v>
      </c>
    </row>
    <row r="25" customFormat="false" ht="15" hidden="false" customHeight="false" outlineLevel="0" collapsed="false">
      <c r="A25" s="2" t="s">
        <v>21</v>
      </c>
    </row>
    <row r="26" customFormat="false" ht="15" hidden="false" customHeight="false" outlineLevel="0" collapsed="false">
      <c r="A26" s="2" t="s">
        <v>22</v>
      </c>
    </row>
    <row r="27" customFormat="false" ht="15" hidden="false" customHeight="false" outlineLevel="0" collapsed="false">
      <c r="A27" s="2" t="s">
        <v>23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3" t="s">
        <v>26</v>
      </c>
    </row>
    <row r="33" customFormat="false" ht="15" hidden="false" customHeight="false" outlineLevel="0" collapsed="false">
      <c r="A33" s="2" t="s">
        <v>27</v>
      </c>
    </row>
    <row r="34" customFormat="false" ht="15" hidden="false" customHeight="false" outlineLevel="0" collapsed="false">
      <c r="A34" s="2" t="s">
        <v>28</v>
      </c>
    </row>
    <row r="35" customFormat="false" ht="15" hidden="false" customHeight="false" outlineLevel="0" collapsed="false">
      <c r="A35" s="2" t="s">
        <v>29</v>
      </c>
    </row>
    <row r="36" customFormat="false" ht="15" hidden="false" customHeight="false" outlineLevel="0" collapsed="false">
      <c r="A36" s="2" t="s">
        <v>30</v>
      </c>
    </row>
    <row r="37" customFormat="false" ht="15" hidden="false" customHeight="false" outlineLevel="0" collapsed="false">
      <c r="A37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4" width="19"/>
    <col collapsed="false" customWidth="true" hidden="false" outlineLevel="0" max="3" min="3" style="4" width="34"/>
    <col collapsed="false" customWidth="true" hidden="false" outlineLevel="0" max="4" min="4" style="4" width="20"/>
    <col collapsed="false" customWidth="true" hidden="false" outlineLevel="0" max="5" min="5" style="4" width="14"/>
    <col collapsed="false" customWidth="true" hidden="false" outlineLevel="0" max="6" min="6" style="4" width="22"/>
    <col collapsed="false" customWidth="true" hidden="false" outlineLevel="0" max="7" min="7" style="4" width="10"/>
    <col collapsed="false" customWidth="true" hidden="false" outlineLevel="0" max="8" min="8" style="4" width="16"/>
    <col collapsed="false" customWidth="true" hidden="false" outlineLevel="0" max="9" min="9" style="4" width="22"/>
    <col collapsed="false" customWidth="true" hidden="false" outlineLevel="0" max="10" min="10" style="4" width="7"/>
    <col collapsed="false" customWidth="true" hidden="false" outlineLevel="0" max="11" min="11" style="4" width="15"/>
    <col collapsed="false" customWidth="true" hidden="false" outlineLevel="0" max="12" min="12" style="4" width="10"/>
    <col collapsed="false" customWidth="true" hidden="false" outlineLevel="0" max="13" min="13" style="4" width="8"/>
    <col collapsed="false" customWidth="true" hidden="false" outlineLevel="0" max="14" min="14" style="4" width="26"/>
  </cols>
  <sheetData>
    <row r="1" customFormat="false" ht="31.5" hidden="false" customHeight="true" outlineLevel="0" collapsed="false">
      <c r="A1" s="5" t="s">
        <v>32</v>
      </c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</row>
    <row r="2" customFormat="false" ht="15" hidden="false" customHeight="true" outlineLevel="0" collapsed="false">
      <c r="A2" s="6" t="s">
        <v>46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53</v>
      </c>
      <c r="I2" s="6" t="s">
        <v>54</v>
      </c>
      <c r="J2" s="7" t="n">
        <v>9</v>
      </c>
      <c r="K2" s="7" t="n">
        <v>10</v>
      </c>
      <c r="L2" s="7" t="n">
        <v>90</v>
      </c>
      <c r="M2" s="7" t="n">
        <v>142</v>
      </c>
      <c r="N2" s="6" t="s">
        <v>55</v>
      </c>
      <c r="O2" s="8" t="s">
        <v>56</v>
      </c>
    </row>
    <row r="3" customFormat="false" ht="15" hidden="false" customHeight="true" outlineLevel="0" collapsed="false">
      <c r="J3" s="9"/>
      <c r="K3" s="9"/>
      <c r="L3" s="10"/>
      <c r="M3" s="9"/>
    </row>
    <row r="4" customFormat="false" ht="15" hidden="false" customHeight="true" outlineLevel="0" collapsed="false">
      <c r="J4" s="9"/>
      <c r="K4" s="9"/>
      <c r="L4" s="10"/>
      <c r="M4" s="9"/>
    </row>
    <row r="5" customFormat="false" ht="15" hidden="false" customHeight="true" outlineLevel="0" collapsed="false">
      <c r="J5" s="9"/>
      <c r="K5" s="9"/>
      <c r="L5" s="10"/>
      <c r="M5" s="9"/>
    </row>
    <row r="6" customFormat="false" ht="15" hidden="false" customHeight="true" outlineLevel="0" collapsed="false">
      <c r="J6" s="9"/>
      <c r="K6" s="9"/>
      <c r="L6" s="10"/>
      <c r="M6" s="9"/>
    </row>
    <row r="7" customFormat="false" ht="15" hidden="false" customHeight="true" outlineLevel="0" collapsed="false">
      <c r="J7" s="9"/>
      <c r="K7" s="9"/>
      <c r="L7" s="10"/>
      <c r="M7" s="9"/>
    </row>
    <row r="8" customFormat="false" ht="15" hidden="false" customHeight="true" outlineLevel="0" collapsed="false">
      <c r="J8" s="9"/>
      <c r="K8" s="9"/>
      <c r="L8" s="10"/>
      <c r="M8" s="9"/>
    </row>
    <row r="9" customFormat="false" ht="15" hidden="false" customHeight="true" outlineLevel="0" collapsed="false">
      <c r="J9" s="9"/>
      <c r="K9" s="9"/>
      <c r="L9" s="10"/>
      <c r="M9" s="9"/>
    </row>
    <row r="10" customFormat="false" ht="15" hidden="false" customHeight="true" outlineLevel="0" collapsed="false">
      <c r="J10" s="9"/>
      <c r="K10" s="9"/>
      <c r="L10" s="10"/>
      <c r="M10" s="9"/>
    </row>
    <row r="11" customFormat="false" ht="15" hidden="false" customHeight="true" outlineLevel="0" collapsed="false">
      <c r="J11" s="9"/>
      <c r="K11" s="9"/>
      <c r="L11" s="10"/>
      <c r="M11" s="9"/>
    </row>
    <row r="12" customFormat="false" ht="15" hidden="false" customHeight="true" outlineLevel="0" collapsed="false">
      <c r="J12" s="9"/>
      <c r="K12" s="9"/>
      <c r="L12" s="10"/>
      <c r="M12" s="9"/>
    </row>
    <row r="13" customFormat="false" ht="15" hidden="false" customHeight="true" outlineLevel="0" collapsed="false">
      <c r="J13" s="9"/>
      <c r="K13" s="9"/>
      <c r="L13" s="10"/>
      <c r="M13" s="9"/>
    </row>
    <row r="14" customFormat="false" ht="15" hidden="false" customHeight="true" outlineLevel="0" collapsed="false">
      <c r="J14" s="9"/>
      <c r="K14" s="9"/>
      <c r="L14" s="10"/>
      <c r="M14" s="9"/>
    </row>
    <row r="15" customFormat="false" ht="15" hidden="false" customHeight="true" outlineLevel="0" collapsed="false">
      <c r="J15" s="9"/>
      <c r="K15" s="9"/>
      <c r="L15" s="10"/>
      <c r="M15" s="9"/>
    </row>
    <row r="16" customFormat="false" ht="15" hidden="false" customHeight="true" outlineLevel="0" collapsed="false">
      <c r="J16" s="9"/>
      <c r="K16" s="9"/>
      <c r="L16" s="10"/>
      <c r="M16" s="9"/>
    </row>
    <row r="17" customFormat="false" ht="15" hidden="false" customHeight="true" outlineLevel="0" collapsed="false">
      <c r="J17" s="9"/>
      <c r="K17" s="9"/>
      <c r="L17" s="10"/>
      <c r="M17" s="9"/>
    </row>
    <row r="18" customFormat="false" ht="15" hidden="false" customHeight="true" outlineLevel="0" collapsed="false">
      <c r="J18" s="9"/>
      <c r="K18" s="9"/>
      <c r="L18" s="10"/>
      <c r="M18" s="9"/>
    </row>
    <row r="19" customFormat="false" ht="15" hidden="false" customHeight="true" outlineLevel="0" collapsed="false">
      <c r="J19" s="9"/>
      <c r="K19" s="9"/>
      <c r="L19" s="10"/>
      <c r="M19" s="9"/>
    </row>
    <row r="20" customFormat="false" ht="15" hidden="false" customHeight="true" outlineLevel="0" collapsed="false">
      <c r="J20" s="9"/>
      <c r="K20" s="9"/>
      <c r="L20" s="10"/>
      <c r="M20" s="9"/>
    </row>
    <row r="21" customFormat="false" ht="15" hidden="false" customHeight="true" outlineLevel="0" collapsed="false">
      <c r="J21" s="9"/>
      <c r="K21" s="9"/>
      <c r="L21" s="10"/>
      <c r="M21" s="9"/>
    </row>
    <row r="22" customFormat="false" ht="15" hidden="false" customHeight="true" outlineLevel="0" collapsed="false">
      <c r="J22" s="9"/>
      <c r="K22" s="9"/>
      <c r="L22" s="10"/>
      <c r="M22" s="9"/>
    </row>
    <row r="23" customFormat="false" ht="15" hidden="false" customHeight="true" outlineLevel="0" collapsed="false">
      <c r="J23" s="9"/>
      <c r="K23" s="9"/>
      <c r="L23" s="10"/>
      <c r="M23" s="9"/>
    </row>
    <row r="24" customFormat="false" ht="15" hidden="false" customHeight="true" outlineLevel="0" collapsed="false">
      <c r="J24" s="9"/>
      <c r="K24" s="9"/>
      <c r="L24" s="10"/>
      <c r="M24" s="9"/>
    </row>
    <row r="25" customFormat="false" ht="15" hidden="false" customHeight="true" outlineLevel="0" collapsed="false">
      <c r="J25" s="9"/>
      <c r="K25" s="9"/>
      <c r="L25" s="10"/>
      <c r="M25" s="9"/>
    </row>
    <row r="26" customFormat="false" ht="15" hidden="false" customHeight="true" outlineLevel="0" collapsed="false">
      <c r="J26" s="9"/>
      <c r="K26" s="9"/>
      <c r="L26" s="10"/>
      <c r="M26" s="9"/>
    </row>
    <row r="27" customFormat="false" ht="15" hidden="false" customHeight="true" outlineLevel="0" collapsed="false">
      <c r="J27" s="9"/>
      <c r="K27" s="9"/>
      <c r="L27" s="10"/>
      <c r="M27" s="9"/>
    </row>
    <row r="28" customFormat="false" ht="15" hidden="false" customHeight="true" outlineLevel="0" collapsed="false">
      <c r="J28" s="9"/>
      <c r="K28" s="9"/>
      <c r="L28" s="10"/>
      <c r="M28" s="9"/>
    </row>
    <row r="29" customFormat="false" ht="15" hidden="false" customHeight="true" outlineLevel="0" collapsed="false">
      <c r="J29" s="9"/>
      <c r="K29" s="9"/>
      <c r="L29" s="10"/>
      <c r="M29" s="9"/>
    </row>
    <row r="30" customFormat="false" ht="15" hidden="false" customHeight="true" outlineLevel="0" collapsed="false">
      <c r="J30" s="9"/>
      <c r="K30" s="9"/>
      <c r="L30" s="10"/>
      <c r="M30" s="9"/>
    </row>
    <row r="31" customFormat="false" ht="15" hidden="false" customHeight="true" outlineLevel="0" collapsed="false">
      <c r="J31" s="9"/>
      <c r="K31" s="9"/>
      <c r="L31" s="10"/>
      <c r="M31" s="9"/>
    </row>
    <row r="32" customFormat="false" ht="15" hidden="false" customHeight="true" outlineLevel="0" collapsed="false">
      <c r="J32" s="9"/>
      <c r="K32" s="9"/>
      <c r="L32" s="10"/>
      <c r="M32" s="9"/>
    </row>
    <row r="33" customFormat="false" ht="15" hidden="false" customHeight="true" outlineLevel="0" collapsed="false">
      <c r="J33" s="9"/>
      <c r="K33" s="9"/>
      <c r="L33" s="10"/>
      <c r="M33" s="9"/>
    </row>
    <row r="34" customFormat="false" ht="15" hidden="false" customHeight="true" outlineLevel="0" collapsed="false">
      <c r="J34" s="9"/>
      <c r="K34" s="9"/>
      <c r="L34" s="10"/>
      <c r="M34" s="9"/>
    </row>
    <row r="35" customFormat="false" ht="15" hidden="false" customHeight="true" outlineLevel="0" collapsed="false">
      <c r="J35" s="9"/>
      <c r="K35" s="9"/>
      <c r="L35" s="10"/>
      <c r="M35" s="9"/>
    </row>
    <row r="36" customFormat="false" ht="15" hidden="false" customHeight="true" outlineLevel="0" collapsed="false">
      <c r="J36" s="9"/>
      <c r="K36" s="9"/>
      <c r="L36" s="10"/>
      <c r="M36" s="9"/>
    </row>
    <row r="37" customFormat="false" ht="15" hidden="false" customHeight="true" outlineLevel="0" collapsed="false">
      <c r="J37" s="9"/>
      <c r="K37" s="9"/>
      <c r="L37" s="10"/>
      <c r="M37" s="9"/>
    </row>
    <row r="38" customFormat="false" ht="15" hidden="false" customHeight="true" outlineLevel="0" collapsed="false">
      <c r="J38" s="9"/>
      <c r="K38" s="9"/>
      <c r="L38" s="10"/>
      <c r="M38" s="9"/>
    </row>
    <row r="39" customFormat="false" ht="15" hidden="false" customHeight="true" outlineLevel="0" collapsed="false">
      <c r="J39" s="9"/>
      <c r="K39" s="9"/>
      <c r="L39" s="10"/>
      <c r="M39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4" width="32"/>
    <col collapsed="false" customWidth="true" hidden="false" outlineLevel="0" max="2" min="2" style="4" width="20"/>
  </cols>
  <sheetData>
    <row r="1" customFormat="false" ht="19.5" hidden="false" customHeight="true" outlineLevel="0" collapsed="false">
      <c r="A1" s="11" t="s">
        <v>57</v>
      </c>
      <c r="B1" s="11"/>
    </row>
    <row r="3" customFormat="false" ht="24" hidden="false" customHeight="true" outlineLevel="0" collapsed="false">
      <c r="A3" s="12" t="s">
        <v>58</v>
      </c>
      <c r="B3" s="13" t="n">
        <f aca="false">COUNTA(Participation!A2:A100)</f>
        <v>1</v>
      </c>
    </row>
    <row r="5" customFormat="false" ht="24" hidden="false" customHeight="true" outlineLevel="0" collapsed="false">
      <c r="A5" s="12" t="s">
        <v>59</v>
      </c>
      <c r="B5" s="13" t="n">
        <f aca="false">IFERROR(SUMPRODUCT((Participation!E2:E100&lt;&gt;"")*(MATCH(Participation!E2:E100&amp;"",Participation!E2:E100&amp;"",0)=ROW(Participation!E2:E100)-1)),0)</f>
        <v>1</v>
      </c>
    </row>
    <row r="7" customFormat="false" ht="24" hidden="false" customHeight="true" outlineLevel="0" collapsed="false">
      <c r="A7" s="12" t="s">
        <v>60</v>
      </c>
      <c r="B7" s="13" t="n">
        <f aca="false">COUNTIF(Participation!N2:N100,"?*")</f>
        <v>1</v>
      </c>
    </row>
    <row r="9" customFormat="false" ht="24" hidden="false" customHeight="true" outlineLevel="0" collapsed="false">
      <c r="A9" s="12" t="s">
        <v>61</v>
      </c>
      <c r="B9" s="13" t="n">
        <f aca="false">IFERROR(MAX(Participation!L2:L100),0)</f>
        <v>90</v>
      </c>
    </row>
    <row r="11" customFormat="false" ht="24" hidden="false" customHeight="true" outlineLevel="0" collapsed="false">
      <c r="A11" s="12" t="s">
        <v>62</v>
      </c>
      <c r="B11" s="13" t="n">
        <f aca="false">IFERROR(ROUND(AVERAGE(Participation!L2:L100),1),0)</f>
        <v>90</v>
      </c>
    </row>
    <row r="14" customFormat="false" ht="15" hidden="false" customHeight="true" outlineLevel="0" collapsed="false">
      <c r="A14" s="12" t="s">
        <v>63</v>
      </c>
    </row>
    <row r="15" customFormat="false" ht="15" hidden="false" customHeight="true" outlineLevel="0" collapsed="false">
      <c r="A15" s="14" t="s">
        <v>54</v>
      </c>
      <c r="B15" s="15" t="n">
        <f aca="false">COUNTIF(Participation!H2:H100,"treasure-hunt")</f>
        <v>1</v>
      </c>
    </row>
    <row r="16" customFormat="false" ht="15" hidden="false" customHeight="true" outlineLevel="0" collapsed="false">
      <c r="A16" s="14" t="s">
        <v>64</v>
      </c>
      <c r="B16" s="15" t="n">
        <f aca="false">COUNTIF(Participation!H2:H100,"library-quiz")</f>
        <v>0</v>
      </c>
    </row>
    <row r="17" customFormat="false" ht="15" hidden="false" customHeight="true" outlineLevel="0" collapsed="false">
      <c r="A17" s="14" t="s">
        <v>65</v>
      </c>
      <c r="B17" s="15" t="n">
        <f aca="false">COUNTIF(Participation!H2:H100,"book-detective")</f>
        <v>0</v>
      </c>
    </row>
    <row r="18" customFormat="false" ht="15" hidden="false" customHeight="true" outlineLevel="0" collapsed="false">
      <c r="A18" s="14" t="s">
        <v>66</v>
      </c>
      <c r="B18" s="15" t="n">
        <f aca="false">COUNTIF(Participation!H2:H100,"word-quest")</f>
        <v>0</v>
      </c>
    </row>
    <row r="19" customFormat="false" ht="15" hidden="false" customHeight="true" outlineLevel="0" collapsed="false">
      <c r="A19" s="14" t="s">
        <v>67</v>
      </c>
      <c r="B19" s="15" t="n">
        <f aca="false">COUNTIF(Participation!H2:H100,"research-challenge")</f>
        <v>0</v>
      </c>
    </row>
    <row r="20" customFormat="false" ht="15" hidden="false" customHeight="true" outlineLevel="0" collapsed="false">
      <c r="A20" s="14" t="s">
        <v>68</v>
      </c>
      <c r="B20" s="15" t="n">
        <f aca="false">COUNTIF(Participation!H2:H100,"match-pairs")</f>
        <v>0</v>
      </c>
    </row>
    <row r="22" customFormat="false" ht="15" hidden="false" customHeight="true" outlineLevel="0" collapsed="false">
      <c r="A22" s="16" t="s">
        <v>69</v>
      </c>
    </row>
    <row r="23" customFormat="false" ht="15" hidden="false" customHeight="true" outlineLevel="0" collapsed="false">
      <c r="A23" s="16" t="s">
        <v>70</v>
      </c>
    </row>
    <row r="24" customFormat="false" ht="15" hidden="false" customHeight="true" outlineLevel="0" collapsed="false">
      <c r="A24" s="16" t="s">
        <v>71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2026-09-25T03:52:51Z</dcterms:created>
  <dc:creator>openpyxl</dc:creator>
  <dc:description/>
  <dc:language>en-US</dc:language>
  <cp:lastModifiedBy/>
  <dcterms:modified xsi:type="dcterms:W3CDTF">2026-09-25T03:53:25Z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